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2BEF08CF-70D8-4E24-A7B5-DD560D30314E}" xr6:coauthVersionLast="47" xr6:coauthVersionMax="47" xr10:uidLastSave="{00000000-0000-0000-0000-000000000000}"/>
  <bookViews>
    <workbookView xWindow="24000" yWindow="5310" windowWidth="10155" windowHeight="1141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C24" i="1"/>
  <c r="C25" i="1"/>
  <c r="C23" i="1"/>
  <c r="C22" i="1"/>
  <c r="C21" i="1"/>
  <c r="C20" i="1"/>
  <c r="C19" i="1"/>
  <c r="C18" i="1"/>
  <c r="F8" i="1"/>
  <c r="F9" i="1"/>
  <c r="F10" i="1"/>
  <c r="F11" i="1"/>
  <c r="F12" i="1"/>
  <c r="F15" i="1"/>
  <c r="F16" i="1"/>
  <c r="E7" i="1"/>
  <c r="G7" i="1" s="1"/>
  <c r="E3" i="1"/>
  <c r="H3" i="1" s="1"/>
  <c r="E4" i="1"/>
  <c r="G4" i="1" s="1"/>
  <c r="E5" i="1"/>
  <c r="G5" i="1" s="1"/>
  <c r="E6" i="1"/>
  <c r="G6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F13" i="1" s="1"/>
  <c r="E14" i="1"/>
  <c r="F14" i="1" s="1"/>
  <c r="E15" i="1"/>
  <c r="G15" i="1" s="1"/>
  <c r="E16" i="1"/>
  <c r="G16" i="1" s="1"/>
  <c r="E2" i="1"/>
  <c r="F2" i="1" s="1"/>
  <c r="F27" i="1" l="1"/>
  <c r="F28" i="1"/>
  <c r="F29" i="1"/>
  <c r="H2" i="1"/>
  <c r="F7" i="1"/>
  <c r="G2" i="1"/>
  <c r="H16" i="1"/>
  <c r="G3" i="1"/>
  <c r="F6" i="1"/>
  <c r="H15" i="1"/>
  <c r="F5" i="1"/>
  <c r="H14" i="1"/>
  <c r="F4" i="1"/>
  <c r="G14" i="1"/>
  <c r="H13" i="1"/>
  <c r="F3" i="1"/>
  <c r="G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<sst xmlns="http://schemas.openxmlformats.org/spreadsheetml/2006/main" count="35" uniqueCount="35">
  <si>
    <t>№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</si>
  <si>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</si>
  <si>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</si>
  <si>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</si>
  <si>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</si>
  <si>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</si>
  <si>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</si>
  <si>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</si>
  <si>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</si>
  <si>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</si>
  <si>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</si>
  <si>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</si>
  <si>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</si>
  <si>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</si>
  <si>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</si>
  <si>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</si>
  <si>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</si>
  <si>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</si>
  <si>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</si>
  <si>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</si>
  <si>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</si>
  <si>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Сумма</t>
  </si>
  <si>
    <t>Среднее</t>
  </si>
  <si>
    <t>Медиана</t>
  </si>
  <si>
    <t>Мода</t>
  </si>
  <si>
    <t>Минимум</t>
  </si>
  <si>
    <t>Максимум</t>
  </si>
  <si>
    <t>Дисперсия</t>
  </si>
  <si>
    <t>Стандартное отклонение</t>
  </si>
  <si>
    <t>Кол-во товаров "Топ"</t>
  </si>
  <si>
    <t>Сумма выручки товаров "Топ"</t>
  </si>
  <si>
    <t>Средняя выручка товаров "Средний"</t>
  </si>
  <si>
    <t>Доля выручки каждого товара</t>
  </si>
  <si>
    <t>Ранг</t>
  </si>
  <si>
    <t>Корреляция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</si>
</sst>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R13" sqref="R13"/>
    </sheetView>
  </sheetViews>
  <sheetFormatPr defaultRowHeight="15" x14ac:dyDescent="0.25"/>
  <cols>
    <col min="1" max="1" width="32.85546875" customWidth="1"/>
    <col min="2" max="2" width="19" customWidth="1"/>
    <col min="3" max="3" width="17.28515625" style="1" customWidth="1"/>
    <col min="4" max="4" width="16.42578125" customWidth="1"/>
    <col min="5" max="5" width="11.28515625" bestFit="1" customWidth="1"/>
    <col min="6" max="6" width="21.85546875" customWidth="1"/>
    <col min="7" max="7" width="35.42578125" customWidth="1"/>
    <col min="8" max="8" width="21.7109375" customWidth="1"/>
    <col min="9" max="9" width="13.7109375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</row>
    <row r="2" spans="1:9" x14ac:dyDescent="0.25">
      <c r="A2">
        <v>1</v>
      </c>
      <c r="B2" t="s">
        <v>6</v>
      </c>
      <c r="C2" s="1">
        <v>45000</v>
      </c>
      <c r="D2">
        <v>12</v>
      </c>
      <c r="E2" s="1">
        <f>C2*D2</f>
        <v>540000</v>
      </c>
      <c r="F2" t="str">
        <f>IF(E2&gt;100000,"Топ",IF(E2&gt;50000,"Средний","Низкий"))</f>
        <v>Топ</v>
      </c>
      <c r="G2" s="2">
        <f>E2 / SUM($E$2:$E$16)</f>
        <v>0.28600180075207882</v>
      </c>
      <c r="H2">
        <f>RANK(E2, $E$2:$E$16)</f>
        <v>1</v>
      </c>
      <c r="I2">
        <f>CORREL(C2:C16, D2:D16)</f>
        <v>-0.39694833806521035</v>
      </c>
    </row>
    <row r="3" spans="1:9" x14ac:dyDescent="0.25">
      <c r="A3">
        <v>2</v>
      </c>
      <c r="B3" t="s">
        <v>7</v>
      </c>
      <c r="C3" s="1">
        <v>18000</v>
      </c>
      <c r="D3">
        <v>25</v>
      </c>
      <c r="E3" s="1">
        <f t="shared" ref="E3:E16" si="0">C3*D3</f>
        <v>450000</v>
      </c>
      <c r="F3" t="str">
        <f t="shared" ref="F3:F16" si="1">IF(E3&gt;100000,"Топ",IF(E3&gt;50000,"Средний","Низкий"))</f>
        <v>Топ</v>
      </c>
      <c r="G3" s="2">
        <f t="shared" ref="G3:G16" si="2">E3 / SUM($E$2:$E$16)</f>
        <v>0.23833483396006566</v>
      </c>
      <c r="H3">
        <f t="shared" ref="H3:H16" si="3">RANK(E3, $E$2:$E$16)</f>
        <v>2</v>
      </c>
    </row>
    <row r="4" spans="1:9" x14ac:dyDescent="0.25">
      <c r="A4">
        <v>3</v>
      </c>
      <c r="B4" t="s">
        <v>8</v>
      </c>
      <c r="C4" s="1">
        <v>1500</v>
      </c>
      <c r="D4">
        <v>60</v>
      </c>
      <c r="E4" s="1">
        <f t="shared" si="0"/>
        <v>90000</v>
      </c>
      <c r="F4" t="str">
        <f t="shared" si="1"/>
        <v>Средний</v>
      </c>
      <c r="G4" s="2">
        <f t="shared" si="2"/>
        <v>4.7666966792013134E-2</v>
      </c>
      <c r="H4">
        <f t="shared" si="3"/>
        <v>5</v>
      </c>
    </row>
    <row r="5" spans="1:9" x14ac:dyDescent="0.25">
      <c r="A5">
        <v>4</v>
      </c>
      <c r="B5" t="s">
        <v>9</v>
      </c>
      <c r="C5" s="1">
        <v>800</v>
      </c>
      <c r="D5">
        <v>85</v>
      </c>
      <c r="E5" s="1">
        <f t="shared" si="0"/>
        <v>68000</v>
      </c>
      <c r="F5" t="str">
        <f t="shared" si="1"/>
        <v>Средний</v>
      </c>
      <c r="G5" s="2">
        <f t="shared" si="2"/>
        <v>3.6015041576187699E-2</v>
      </c>
      <c r="H5">
        <f t="shared" si="3"/>
        <v>9</v>
      </c>
    </row>
    <row r="6" spans="1:9" x14ac:dyDescent="0.25">
      <c r="A6">
        <v>5</v>
      </c>
      <c r="B6" t="s">
        <v>10</v>
      </c>
      <c r="C6" s="1">
        <v>12000</v>
      </c>
      <c r="D6">
        <v>8</v>
      </c>
      <c r="E6" s="1">
        <f t="shared" si="0"/>
        <v>96000</v>
      </c>
      <c r="F6" t="str">
        <f t="shared" si="1"/>
        <v>Средний</v>
      </c>
      <c r="G6" s="2">
        <f t="shared" si="2"/>
        <v>5.0844764578147343E-2</v>
      </c>
      <c r="H6">
        <f t="shared" si="3"/>
        <v>4</v>
      </c>
    </row>
    <row r="7" spans="1:9" x14ac:dyDescent="0.25">
      <c r="A7">
        <v>6</v>
      </c>
      <c r="B7" t="s">
        <v>11</v>
      </c>
      <c r="C7" s="1">
        <v>9000</v>
      </c>
      <c r="D7">
        <v>6</v>
      </c>
      <c r="E7" s="1">
        <f t="shared" si="0"/>
        <v>54000</v>
      </c>
      <c r="F7" t="str">
        <f t="shared" si="1"/>
        <v>Средний</v>
      </c>
      <c r="G7" s="2">
        <f t="shared" si="2"/>
        <v>2.8600180075207881E-2</v>
      </c>
      <c r="H7">
        <f t="shared" si="3"/>
        <v>12</v>
      </c>
    </row>
    <row r="8" spans="1:9" x14ac:dyDescent="0.25">
      <c r="A8">
        <v>7</v>
      </c>
      <c r="B8" t="s">
        <v>12</v>
      </c>
      <c r="C8" s="1">
        <v>600</v>
      </c>
      <c r="D8">
        <v>120</v>
      </c>
      <c r="E8" s="1">
        <f t="shared" si="0"/>
        <v>72000</v>
      </c>
      <c r="F8" t="str">
        <f t="shared" si="1"/>
        <v>Средний</v>
      </c>
      <c r="G8" s="2">
        <f t="shared" si="2"/>
        <v>3.8133573433610506E-2</v>
      </c>
      <c r="H8">
        <f t="shared" si="3"/>
        <v>7</v>
      </c>
    </row>
    <row r="9" spans="1:9" x14ac:dyDescent="0.25">
      <c r="A9">
        <v>8</v>
      </c>
      <c r="B9" t="s">
        <v>13</v>
      </c>
      <c r="C9" s="1">
        <v>5500</v>
      </c>
      <c r="D9">
        <v>15</v>
      </c>
      <c r="E9" s="1">
        <f t="shared" si="0"/>
        <v>82500</v>
      </c>
      <c r="F9" t="str">
        <f t="shared" si="1"/>
        <v>Средний</v>
      </c>
      <c r="G9" s="2">
        <f t="shared" si="2"/>
        <v>4.3694719559345375E-2</v>
      </c>
      <c r="H9">
        <f t="shared" si="3"/>
        <v>6</v>
      </c>
    </row>
    <row r="10" spans="1:9" x14ac:dyDescent="0.25">
      <c r="A10">
        <v>9</v>
      </c>
      <c r="B10" t="s">
        <v>14</v>
      </c>
      <c r="C10" s="1">
        <v>2800</v>
      </c>
      <c r="D10">
        <v>22</v>
      </c>
      <c r="E10" s="1">
        <f t="shared" si="0"/>
        <v>61600</v>
      </c>
      <c r="F10" t="str">
        <f t="shared" si="1"/>
        <v>Средний</v>
      </c>
      <c r="G10" s="2">
        <f t="shared" si="2"/>
        <v>3.2625390604311209E-2</v>
      </c>
      <c r="H10">
        <f t="shared" si="3"/>
        <v>11</v>
      </c>
    </row>
    <row r="11" spans="1:9" x14ac:dyDescent="0.25">
      <c r="A11">
        <v>10</v>
      </c>
      <c r="B11" t="s">
        <v>15</v>
      </c>
      <c r="C11" s="1">
        <v>3200</v>
      </c>
      <c r="D11">
        <v>35</v>
      </c>
      <c r="E11" s="1">
        <f t="shared" si="0"/>
        <v>112000</v>
      </c>
      <c r="F11" t="str">
        <f t="shared" si="1"/>
        <v>Топ</v>
      </c>
      <c r="G11" s="2">
        <f t="shared" si="2"/>
        <v>5.9318892007838568E-2</v>
      </c>
      <c r="H11">
        <f t="shared" si="3"/>
        <v>3</v>
      </c>
    </row>
    <row r="12" spans="1:9" x14ac:dyDescent="0.25">
      <c r="A12">
        <v>11</v>
      </c>
      <c r="B12" t="s">
        <v>16</v>
      </c>
      <c r="C12" s="1">
        <v>400</v>
      </c>
      <c r="D12">
        <v>90</v>
      </c>
      <c r="E12" s="1">
        <f t="shared" si="0"/>
        <v>36000</v>
      </c>
      <c r="F12" t="str">
        <f t="shared" si="1"/>
        <v>Низкий</v>
      </c>
      <c r="G12" s="2">
        <f t="shared" si="2"/>
        <v>1.9066786716805253E-2</v>
      </c>
      <c r="H12">
        <f t="shared" si="3"/>
        <v>15</v>
      </c>
    </row>
    <row r="13" spans="1:9" x14ac:dyDescent="0.25">
      <c r="A13">
        <v>12</v>
      </c>
      <c r="B13" t="s">
        <v>17</v>
      </c>
      <c r="C13" s="1">
        <v>1200</v>
      </c>
      <c r="D13">
        <v>40</v>
      </c>
      <c r="E13" s="1">
        <f t="shared" si="0"/>
        <v>48000</v>
      </c>
      <c r="F13" t="str">
        <f t="shared" si="1"/>
        <v>Низкий</v>
      </c>
      <c r="G13" s="2">
        <f t="shared" si="2"/>
        <v>2.5422382289073672E-2</v>
      </c>
      <c r="H13">
        <f t="shared" si="3"/>
        <v>13</v>
      </c>
    </row>
    <row r="14" spans="1:9" x14ac:dyDescent="0.25">
      <c r="A14">
        <v>13</v>
      </c>
      <c r="B14" t="s">
        <v>18</v>
      </c>
      <c r="C14" s="1">
        <v>2500</v>
      </c>
      <c r="D14">
        <v>18</v>
      </c>
      <c r="E14" s="1">
        <f t="shared" si="0"/>
        <v>45000</v>
      </c>
      <c r="F14" t="str">
        <f t="shared" si="1"/>
        <v>Низкий</v>
      </c>
      <c r="G14" s="2">
        <f t="shared" si="2"/>
        <v>2.3833483396006567E-2</v>
      </c>
      <c r="H14">
        <f t="shared" si="3"/>
        <v>14</v>
      </c>
    </row>
    <row r="15" spans="1:9" x14ac:dyDescent="0.25">
      <c r="A15">
        <v>14</v>
      </c>
      <c r="B15" t="s">
        <v>19</v>
      </c>
      <c r="C15" s="1">
        <v>350</v>
      </c>
      <c r="D15">
        <v>200</v>
      </c>
      <c r="E15" s="1">
        <f t="shared" si="0"/>
        <v>70000</v>
      </c>
      <c r="F15" t="str">
        <f t="shared" si="1"/>
        <v>Средний</v>
      </c>
      <c r="G15" s="2">
        <f t="shared" si="2"/>
        <v>3.7074307504899102E-2</v>
      </c>
      <c r="H15">
        <f t="shared" si="3"/>
        <v>8</v>
      </c>
    </row>
    <row r="16" spans="1:9" x14ac:dyDescent="0.25">
      <c r="A16">
        <v>15</v>
      </c>
      <c r="B16" t="s">
        <v>20</v>
      </c>
      <c r="C16" s="1">
        <v>4500</v>
      </c>
      <c r="D16">
        <v>14</v>
      </c>
      <c r="E16" s="1">
        <f t="shared" si="0"/>
        <v>63000</v>
      </c>
      <c r="F16" t="str">
        <f t="shared" si="1"/>
        <v>Средний</v>
      </c>
      <c r="G16" s="2">
        <f t="shared" si="2"/>
        <v>3.3366876754409192E-2</v>
      </c>
      <c r="H16">
        <f t="shared" si="3"/>
        <v>10</v>
      </c>
    </row>
    <row r="18" spans="1:6" x14ac:dyDescent="0.25">
      <c r="A18" t="s">
        <v>21</v>
      </c>
      <c r="C18" s="1">
        <f>SUM(C2:C16)</f>
        <v>107350</v>
      </c>
    </row>
    <row r="19" spans="1:6" x14ac:dyDescent="0.25">
      <c r="A19" t="s">
        <v>22</v>
      </c>
      <c r="C19" s="1">
        <f>AVERAGE(C2:C16)</f>
        <v>7156.666666666667</v>
      </c>
    </row>
    <row r="20" spans="1:6" x14ac:dyDescent="0.25">
      <c r="A20" t="s">
        <v>23</v>
      </c>
      <c r="C20" s="1">
        <f>MEDIAN(C2:C16)</f>
        <v>2800</v>
      </c>
    </row>
    <row r="21" spans="1:6" x14ac:dyDescent="0.25">
      <c r="A21" t="s">
        <v>24</v>
      </c>
      <c r="C21" s="1" t="e">
        <f>MODE(C2:C16)</f>
        <v>#N/A</v>
      </c>
    </row>
    <row r="22" spans="1:6" x14ac:dyDescent="0.25">
      <c r="A22" t="s">
        <v>25</v>
      </c>
      <c r="C22" s="1">
        <f>MIN(C2:C16)</f>
        <v>350</v>
      </c>
    </row>
    <row r="23" spans="1:6" x14ac:dyDescent="0.25">
      <c r="A23" t="s">
        <v>26</v>
      </c>
      <c r="C23" s="1">
        <f>MAX(C2:C16)</f>
        <v>45000</v>
      </c>
    </row>
    <row r="24" spans="1:6" x14ac:dyDescent="0.25">
      <c r="A24" t="s">
        <v>27</v>
      </c>
      <c r="C24" s="1">
        <f>_xlfn.VAR.S(C2:C17)</f>
        <v>134681023.80952382</v>
      </c>
    </row>
    <row r="25" spans="1:6" x14ac:dyDescent="0.25">
      <c r="A25" t="s">
        <v>28</v>
      </c>
      <c r="C25" s="1">
        <f>STDEV(C2:C16)</f>
        <v>11605.215371096041</v>
      </c>
    </row>
    <row r="27" spans="1:6" x14ac:dyDescent="0.25">
      <c r="A27" t="s">
        <v>29</v>
      </c>
      <c r="F27">
        <f>COUNTIF(F2:F17, "Топ")</f>
        <v>3</v>
      </c>
    </row>
    <row r="28" spans="1:6" x14ac:dyDescent="0.25">
      <c r="A28" t="s">
        <v>30</v>
      </c>
      <c r="F28" s="1">
        <f>SUMIF(F2:F16,"Топ",E2:E16)</f>
        <v>1102000</v>
      </c>
    </row>
    <row r="29" spans="1:6" x14ac:dyDescent="0.25">
      <c r="A29" t="s">
        <v>31</v>
      </c>
      <c r="F29" s="1">
        <f>AVERAGEIF(F2:F16,"Средний",E2:E16)</f>
        <v>73011.111111111109</v>
      </c>
    </row>
    <row r="30" spans="1:6" x14ac:dyDescent="0.25">
      <c r="E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2026-10-01T19:05:31Z</dcterms:modified>
</cp:coreProperties>
</file>