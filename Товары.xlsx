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Кузьменков_Нечаев_231\практическая работа №4_Нечаев_Даниил\"/>
    </mc:Choice>
  </mc:AlternateContent>
  <bookViews>
    <workbookView xWindow="0" yWindow="0" windowWidth="30936" windowHeight="915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H6" i="1"/>
  <c r="E6" i="1"/>
  <c r="F6" i="1"/>
  <c r="B6" i="1"/>
  <c r="E2" i="1" l="1"/>
  <c r="E3" i="1"/>
  <c r="E4" i="1"/>
  <c r="E5" i="1"/>
  <c r="F5" i="1" l="1"/>
  <c r="I5" i="1" s="1"/>
  <c r="H5" i="1"/>
  <c r="F4" i="1"/>
  <c r="I4" i="1" s="1"/>
  <c r="H4" i="1"/>
  <c r="F3" i="1"/>
  <c r="I3" i="1" s="1"/>
  <c r="H3" i="1"/>
  <c r="F2" i="1"/>
  <c r="I2" i="1" s="1"/>
  <c r="H2" i="1"/>
</calcChain>
</file>

<file path=xl/sharedStrings.xml><?xml version="1.0" encoding="utf-8"?>
<sst xmlns="http://schemas.openxmlformats.org/spreadsheetml/2006/main" count="14" uniqueCount="14">
  <si>
    <t>Товар</t>
  </si>
  <si>
    <t>Цена за ед.</t>
  </si>
  <si>
    <t>Кол-во</t>
  </si>
  <si>
    <t>Столбец1</t>
  </si>
  <si>
    <t>Столбец2</t>
  </si>
  <si>
    <t>Скидка %</t>
  </si>
  <si>
    <t>Стоимость</t>
  </si>
  <si>
    <t>Итого со скидкой</t>
  </si>
  <si>
    <t>Ноутбук</t>
  </si>
  <si>
    <t>Монитор</t>
  </si>
  <si>
    <t>Клавиатура</t>
  </si>
  <si>
    <t>Мышь</t>
  </si>
  <si>
    <t>НДС 20%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</si>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</sst>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6">
    <dxf>
      <numFmt numFmtId="164" formatCode="#,##0.00\ &quot;₽&quot;"/>
    </dxf>
    <dxf>
      <numFmt numFmtId="164" formatCode="#,##0.00\ &quot;₽&quot;"/>
    </dxf>
    <dxf>
      <numFmt numFmtId="14" formatCode="0.00%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Таблица2" displayName="Таблица2" ref="A1:I5" totalsRowShown="0">
  <autoFilter ref="A1:I5"/>
  <tableColumns count="9">
    <tableColumn id="1" name="Товар"/>
    <tableColumn id="2" name="Цена за ед." dataDxfId="5"/>
    <tableColumn id="3" name="Кол-во"/>
    <tableColumn id="4" name="Скидка %"/>
    <tableColumn id="5" name="Стоимость" dataDxfId="4">
      <calculatedColumnFormula>B2*C2</calculatedColumnFormula>
    </tableColumn>
    <tableColumn id="6" name="Итого со скидкой" dataDxfId="3">
      <calculatedColumnFormula>E2*(1-D2/100)</calculatedColumnFormula>
    </tableColumn>
    <tableColumn id="7" name="НДС 20%" dataDxfId="2">
      <calculatedColumnFormula>F1*$G$2</calculatedColumnFormula>
    </tableColumn>
    <tableColumn id="9" name="Столбец1" dataDxfId="1">
      <calculatedColumnFormula>E2*$G$2</calculatedColumnFormula>
    </tableColumn>
    <tableColumn id="10" name="Столбец2" dataDxfId="0">
      <calculatedColumnFormula>F2*$G$2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H9" sqref="H9"/>
    </sheetView>
  </sheetViews>
  <sheetFormatPr defaultRowHeight="14.4" x14ac:dyDescent="0.3"/>
  <cols>
    <col min="1" max="1" width="11.109375" customWidth="1"/>
    <col min="2" max="2" width="13.77734375" customWidth="1"/>
    <col min="3" max="4" width="11.109375" customWidth="1"/>
    <col min="5" max="5" width="26.33203125" customWidth="1"/>
    <col min="6" max="6" width="23.21875" style="1" customWidth="1"/>
    <col min="7" max="7" width="11.88671875" style="2" customWidth="1"/>
    <col min="8" max="9" width="10.33203125" bestFit="1" customWidth="1"/>
  </cols>
  <sheetData>
    <row r="1" spans="1:9" x14ac:dyDescent="0.3">
      <c r="A1" t="s">
        <v>0</v>
      </c>
      <c r="B1" s="1" t="s">
        <v>1</v>
      </c>
      <c r="C1" t="s">
        <v>2</v>
      </c>
      <c r="D1" t="s">
        <v>5</v>
      </c>
      <c r="E1" t="s">
        <v>6</v>
      </c>
      <c r="F1" s="1" t="s">
        <v>7</v>
      </c>
      <c r="G1" s="2" t="s">
        <v>12</v>
      </c>
      <c r="H1" t="s">
        <v>3</v>
      </c>
      <c r="I1" t="s">
        <v>4</v>
      </c>
    </row>
    <row r="2" spans="1:9" x14ac:dyDescent="0.3">
      <c r="A2" t="s">
        <v>8</v>
      </c>
      <c r="B2" s="1">
        <v>45000</v>
      </c>
      <c r="C2">
        <v>5</v>
      </c>
      <c r="D2">
        <v>5</v>
      </c>
      <c r="E2" s="1">
        <f t="shared" ref="E2:E6" si="0">B2*C2</f>
        <v>225000</v>
      </c>
      <c r="F2" s="1">
        <f t="shared" ref="F2:F5" si="1">E2*(1-D2/100)</f>
        <v>213750</v>
      </c>
      <c r="G2" s="2">
        <v>0.2</v>
      </c>
      <c r="H2" s="1">
        <f t="shared" ref="H2:H5" si="2">E2*$G$2</f>
        <v>45000</v>
      </c>
      <c r="I2" s="1">
        <f t="shared" ref="I2:I5" si="3">F2*$G$2</f>
        <v>42750</v>
      </c>
    </row>
    <row r="3" spans="1:9" x14ac:dyDescent="0.3">
      <c r="A3" t="s">
        <v>9</v>
      </c>
      <c r="B3" s="1">
        <v>18000</v>
      </c>
      <c r="C3">
        <v>10</v>
      </c>
      <c r="D3">
        <v>3</v>
      </c>
      <c r="E3" s="1">
        <f t="shared" si="0"/>
        <v>180000</v>
      </c>
      <c r="F3" s="1">
        <f t="shared" si="1"/>
        <v>174600</v>
      </c>
      <c r="H3" s="1">
        <f t="shared" si="2"/>
        <v>36000</v>
      </c>
      <c r="I3" s="1">
        <f t="shared" si="3"/>
        <v>34920</v>
      </c>
    </row>
    <row r="4" spans="1:9" x14ac:dyDescent="0.3">
      <c r="A4" t="s">
        <v>10</v>
      </c>
      <c r="B4" s="1">
        <v>1500</v>
      </c>
      <c r="C4">
        <v>25</v>
      </c>
      <c r="D4">
        <v>10</v>
      </c>
      <c r="E4" s="1">
        <f t="shared" si="0"/>
        <v>37500</v>
      </c>
      <c r="F4" s="1">
        <f t="shared" si="1"/>
        <v>33750</v>
      </c>
      <c r="H4" s="1">
        <f t="shared" si="2"/>
        <v>7500</v>
      </c>
      <c r="I4" s="1">
        <f t="shared" si="3"/>
        <v>6750</v>
      </c>
    </row>
    <row r="5" spans="1:9" x14ac:dyDescent="0.3">
      <c r="A5" t="s">
        <v>11</v>
      </c>
      <c r="B5" s="1">
        <v>800</v>
      </c>
      <c r="C5">
        <v>30</v>
      </c>
      <c r="D5">
        <v>7</v>
      </c>
      <c r="E5" s="1">
        <f t="shared" si="0"/>
        <v>24000</v>
      </c>
      <c r="F5" s="1">
        <f t="shared" si="1"/>
        <v>22320</v>
      </c>
      <c r="H5" s="1">
        <f t="shared" si="2"/>
        <v>4800</v>
      </c>
      <c r="I5" s="1">
        <f t="shared" si="3"/>
        <v>4464</v>
      </c>
    </row>
    <row r="6" spans="1:9" x14ac:dyDescent="0.3">
      <c r="A6" s="3" t="s">
        <v>13</v>
      </c>
      <c r="B6" s="1">
        <f>SUM(B2:B5)</f>
        <v>65300</v>
      </c>
      <c r="C6" s="1"/>
      <c r="D6" s="1"/>
      <c r="E6" s="1">
        <f t="shared" ref="C6:F6" si="4">SUM(E2:E5)</f>
        <v>466500</v>
      </c>
      <c r="F6" s="1">
        <f t="shared" si="4"/>
        <v>444420</v>
      </c>
      <c r="G6" s="1"/>
      <c r="H6" s="1">
        <f t="shared" ref="H6:I6" si="5">SUM(H2:H5)</f>
        <v>93300</v>
      </c>
      <c r="I6" s="1">
        <f t="shared" si="5"/>
        <v>88884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2026-09-16T11:43:33Z</dcterms:created>
  <dcterms:modified xsi:type="dcterms:W3CDTF">2026-09-16T11:57:41Z</dcterms:modified>
</cp:coreProperties>
</file>